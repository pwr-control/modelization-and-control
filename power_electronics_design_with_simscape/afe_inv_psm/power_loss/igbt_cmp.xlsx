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agn\Dropbox\"/>
    </mc:Choice>
  </mc:AlternateContent>
  <xr:revisionPtr revIDLastSave="0" documentId="13_ncr:1_{79AB1A90-1C1F-4E67-8E3A-E993664389E8}" xr6:coauthVersionLast="47" xr6:coauthVersionMax="47" xr10:uidLastSave="{00000000-0000-0000-0000-000000000000}"/>
  <bookViews>
    <workbookView xWindow="810" yWindow="1335" windowWidth="29910" windowHeight="13245" xr2:uid="{E8EC0490-178E-43BD-9FC1-6E67E3E9E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M11" i="1" s="1"/>
  <c r="L10" i="1"/>
  <c r="M10" i="1" s="1"/>
  <c r="L8" i="1"/>
  <c r="M8" i="1"/>
  <c r="L12" i="1"/>
  <c r="M12" i="1" s="1"/>
  <c r="L9" i="1"/>
  <c r="M9" i="1" s="1"/>
  <c r="L13" i="1"/>
  <c r="M13" i="1" s="1"/>
</calcChain>
</file>

<file path=xl/sharedStrings.xml><?xml version="1.0" encoding="utf-8"?>
<sst xmlns="http://schemas.openxmlformats.org/spreadsheetml/2006/main" count="33" uniqueCount="20">
  <si>
    <t>FF650R17IE4</t>
  </si>
  <si>
    <t>Package</t>
  </si>
  <si>
    <t>Application</t>
  </si>
  <si>
    <t>690V</t>
  </si>
  <si>
    <t>Current (Arms)</t>
  </si>
  <si>
    <t>f0 (Hz)</t>
  </si>
  <si>
    <t>fPWM (kHz)</t>
  </si>
  <si>
    <t>Pswitch IGBT (W)</t>
  </si>
  <si>
    <t>Pcond IGBT (W)</t>
  </si>
  <si>
    <t>Tj max IGBT (degC)</t>
  </si>
  <si>
    <t>Tj max diode (degC)</t>
  </si>
  <si>
    <t>primepack2</t>
  </si>
  <si>
    <t>HeatSink Temp. (degC)</t>
  </si>
  <si>
    <t>Pswitch DIODE (W)</t>
  </si>
  <si>
    <t>Pcond DIODE (W)</t>
  </si>
  <si>
    <t>FF1200R17IP5</t>
  </si>
  <si>
    <t>Ploss total INVERTER  (kW)</t>
  </si>
  <si>
    <t>Power Factor</t>
  </si>
  <si>
    <t>Ploss total DEVICE  (W)</t>
  </si>
  <si>
    <t>FF650R17IE4D_B2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</si>
</sst>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Victor Mono"/>
      <family val="3"/>
    </font>
    <font>
      <b/>
      <sz val="14"/>
      <color theme="1"/>
      <name val="Victor Mono"/>
      <family val="3"/>
    </font>
    <font>
      <sz val="14"/>
      <color rgb="FFFF0000"/>
      <name val="Victor Mono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1" xfId="0" applyFont="1" applyFill="1" applyBorder="1"/>
    <xf numFmtId="0" fontId="2" fillId="2" borderId="1" xfId="0" applyFont="1" applyFill="1" applyBorder="1"/>
    <xf numFmtId="0" fontId="1" fillId="2" borderId="2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B761-C7B9-44FA-BFDA-D2C244DDD7FA}">
  <dimension ref="B7:Q13"/>
  <sheetViews>
    <sheetView tabSelected="1" topLeftCell="F1" zoomScale="85" zoomScaleNormal="85" workbookViewId="0">
      <selection activeCell="O19" sqref="O19"/>
    </sheetView>
  </sheetViews>
  <sheetFormatPr defaultRowHeight="18.75" customHeight="1" x14ac:dyDescent="0.3"/>
  <cols>
    <col min="1" max="1" width="9.140625" style="1"/>
    <col min="2" max="2" width="24.7109375" style="1" bestFit="1" customWidth="1"/>
    <col min="3" max="3" width="18.42578125" style="1" bestFit="1" customWidth="1"/>
    <col min="4" max="4" width="23.140625" style="1" bestFit="1" customWidth="1"/>
    <col min="5" max="5" width="20" style="1" bestFit="1" customWidth="1"/>
    <col min="6" max="6" width="12.140625" style="1" bestFit="1" customWidth="1"/>
    <col min="7" max="7" width="16.7109375" style="1" bestFit="1" customWidth="1"/>
    <col min="8" max="8" width="26.42578125" style="1" bestFit="1" customWidth="1"/>
    <col min="9" max="9" width="23.140625" style="1" bestFit="1" customWidth="1"/>
    <col min="10" max="10" width="27.85546875" style="1" bestFit="1" customWidth="1"/>
    <col min="11" max="11" width="24.7109375" style="1" bestFit="1" customWidth="1"/>
    <col min="12" max="12" width="37.28515625" style="1" bestFit="1" customWidth="1"/>
    <col min="13" max="13" width="42" style="1" bestFit="1" customWidth="1"/>
    <col min="14" max="14" width="29.42578125" style="1" bestFit="1" customWidth="1"/>
    <col min="15" max="15" width="31" style="1" bestFit="1" customWidth="1"/>
    <col min="16" max="16" width="34.140625" style="1" bestFit="1" customWidth="1"/>
    <col min="17" max="17" width="16.7109375" style="1" bestFit="1" customWidth="1"/>
    <col min="18" max="16384" width="9.140625" style="1"/>
  </cols>
  <sheetData>
    <row r="7" spans="2:17" ht="29.25" customHeight="1" x14ac:dyDescent="0.3">
      <c r="B7" s="12"/>
      <c r="C7" s="13" t="s">
        <v>2</v>
      </c>
      <c r="D7" s="14" t="s">
        <v>4</v>
      </c>
      <c r="E7" s="14" t="s">
        <v>17</v>
      </c>
      <c r="F7" s="14" t="s">
        <v>5</v>
      </c>
      <c r="G7" s="14" t="s">
        <v>6</v>
      </c>
      <c r="H7" s="14" t="s">
        <v>7</v>
      </c>
      <c r="I7" s="14" t="s">
        <v>8</v>
      </c>
      <c r="J7" s="14" t="s">
        <v>13</v>
      </c>
      <c r="K7" s="14" t="s">
        <v>14</v>
      </c>
      <c r="L7" s="14" t="s">
        <v>18</v>
      </c>
      <c r="M7" s="14" t="s">
        <v>16</v>
      </c>
      <c r="N7" s="14" t="s">
        <v>9</v>
      </c>
      <c r="O7" s="14" t="s">
        <v>10</v>
      </c>
      <c r="P7" s="14" t="s">
        <v>12</v>
      </c>
      <c r="Q7" s="15" t="s">
        <v>1</v>
      </c>
    </row>
    <row r="8" spans="2:17" ht="29.25" customHeight="1" x14ac:dyDescent="0.3">
      <c r="B8" s="7" t="s">
        <v>0</v>
      </c>
      <c r="C8" s="8" t="s">
        <v>3</v>
      </c>
      <c r="D8" s="8">
        <v>420</v>
      </c>
      <c r="E8" s="8">
        <v>0.8</v>
      </c>
      <c r="F8" s="8">
        <v>15.6</v>
      </c>
      <c r="G8" s="8">
        <v>3.8</v>
      </c>
      <c r="H8" s="9">
        <v>645</v>
      </c>
      <c r="I8" s="9">
        <v>297</v>
      </c>
      <c r="J8" s="9">
        <v>184</v>
      </c>
      <c r="K8" s="9">
        <v>64</v>
      </c>
      <c r="L8" s="9">
        <f>SUM(H8:K8)</f>
        <v>1190</v>
      </c>
      <c r="M8" s="10">
        <f>6*L8/1000</f>
        <v>7.14</v>
      </c>
      <c r="N8" s="16">
        <v>134</v>
      </c>
      <c r="O8" s="8">
        <v>105</v>
      </c>
      <c r="P8" s="8">
        <v>70</v>
      </c>
      <c r="Q8" s="11" t="s">
        <v>11</v>
      </c>
    </row>
    <row r="9" spans="2:17" ht="29.25" customHeight="1" x14ac:dyDescent="0.3">
      <c r="B9" s="6" t="s">
        <v>0</v>
      </c>
      <c r="C9" s="2" t="s">
        <v>3</v>
      </c>
      <c r="D9" s="2">
        <v>420</v>
      </c>
      <c r="E9" s="2">
        <v>-0.8</v>
      </c>
      <c r="F9" s="2">
        <v>15.6</v>
      </c>
      <c r="G9" s="2">
        <v>3.8</v>
      </c>
      <c r="H9" s="3">
        <v>612</v>
      </c>
      <c r="I9" s="3">
        <v>75</v>
      </c>
      <c r="J9" s="3">
        <v>220</v>
      </c>
      <c r="K9" s="3">
        <v>53</v>
      </c>
      <c r="L9" s="3">
        <f>SUM(H9:K9)</f>
        <v>960</v>
      </c>
      <c r="M9" s="4">
        <f>6*L9/1000</f>
        <v>5.76</v>
      </c>
      <c r="N9" s="2">
        <v>116</v>
      </c>
      <c r="O9" s="17">
        <v>138</v>
      </c>
      <c r="P9" s="2">
        <v>70</v>
      </c>
      <c r="Q9" s="5" t="s">
        <v>11</v>
      </c>
    </row>
    <row r="10" spans="2:17" ht="29.25" customHeight="1" x14ac:dyDescent="0.3">
      <c r="B10" s="7" t="s">
        <v>19</v>
      </c>
      <c r="C10" s="8" t="s">
        <v>3</v>
      </c>
      <c r="D10" s="8">
        <v>420</v>
      </c>
      <c r="E10" s="8">
        <v>0.8</v>
      </c>
      <c r="F10" s="8">
        <v>15.6</v>
      </c>
      <c r="G10" s="8">
        <v>3.8</v>
      </c>
      <c r="H10" s="9">
        <v>614</v>
      </c>
      <c r="I10" s="9">
        <v>297</v>
      </c>
      <c r="J10" s="9">
        <v>209</v>
      </c>
      <c r="K10" s="9">
        <v>58</v>
      </c>
      <c r="L10" s="9">
        <f t="shared" ref="L10" si="0">SUM(H10:K10)</f>
        <v>1178</v>
      </c>
      <c r="M10" s="10">
        <f>6*L10/1000</f>
        <v>7.0679999999999996</v>
      </c>
      <c r="N10" s="16">
        <v>133</v>
      </c>
      <c r="O10" s="8">
        <v>98</v>
      </c>
      <c r="P10" s="8">
        <v>70</v>
      </c>
      <c r="Q10" s="11" t="s">
        <v>11</v>
      </c>
    </row>
    <row r="11" spans="2:17" ht="29.25" customHeight="1" x14ac:dyDescent="0.3">
      <c r="B11" s="6" t="s">
        <v>19</v>
      </c>
      <c r="C11" s="2" t="s">
        <v>3</v>
      </c>
      <c r="D11" s="2">
        <v>420</v>
      </c>
      <c r="E11" s="2">
        <v>-0.8</v>
      </c>
      <c r="F11" s="2">
        <v>15.6</v>
      </c>
      <c r="G11" s="2">
        <v>3.8</v>
      </c>
      <c r="H11" s="3">
        <v>582</v>
      </c>
      <c r="I11" s="3">
        <v>75</v>
      </c>
      <c r="J11" s="3">
        <v>231</v>
      </c>
      <c r="K11" s="3">
        <v>224</v>
      </c>
      <c r="L11" s="3">
        <f t="shared" ref="L11" si="1">SUM(H11:K11)</f>
        <v>1112</v>
      </c>
      <c r="M11" s="4">
        <f>6*L11/1000</f>
        <v>6.6719999999999997</v>
      </c>
      <c r="N11" s="2">
        <v>114</v>
      </c>
      <c r="O11" s="2">
        <v>118</v>
      </c>
      <c r="P11" s="2">
        <v>70</v>
      </c>
      <c r="Q11" s="5" t="s">
        <v>11</v>
      </c>
    </row>
    <row r="12" spans="2:17" ht="29.25" customHeight="1" x14ac:dyDescent="0.3">
      <c r="B12" s="7" t="s">
        <v>15</v>
      </c>
      <c r="C12" s="8" t="s">
        <v>3</v>
      </c>
      <c r="D12" s="8">
        <v>420</v>
      </c>
      <c r="E12" s="8">
        <v>0.8</v>
      </c>
      <c r="F12" s="8">
        <v>15.6</v>
      </c>
      <c r="G12" s="8">
        <v>3.8</v>
      </c>
      <c r="H12" s="9">
        <v>581</v>
      </c>
      <c r="I12" s="9">
        <v>205</v>
      </c>
      <c r="J12" s="9">
        <v>208</v>
      </c>
      <c r="K12" s="9">
        <v>49</v>
      </c>
      <c r="L12" s="9">
        <f t="shared" ref="L12:L13" si="2">SUM(H12:K12)</f>
        <v>1043</v>
      </c>
      <c r="M12" s="10">
        <f t="shared" ref="M12:M13" si="3">6*L12/1000</f>
        <v>6.258</v>
      </c>
      <c r="N12" s="8">
        <v>114</v>
      </c>
      <c r="O12" s="8">
        <v>93</v>
      </c>
      <c r="P12" s="8">
        <v>70</v>
      </c>
      <c r="Q12" s="11" t="s">
        <v>11</v>
      </c>
    </row>
    <row r="13" spans="2:17" ht="29.25" customHeight="1" x14ac:dyDescent="0.3">
      <c r="B13" s="6" t="s">
        <v>15</v>
      </c>
      <c r="C13" s="2" t="s">
        <v>3</v>
      </c>
      <c r="D13" s="2">
        <v>420</v>
      </c>
      <c r="E13" s="2">
        <v>-0.8</v>
      </c>
      <c r="F13" s="2">
        <v>15.6</v>
      </c>
      <c r="G13" s="2">
        <v>3.8</v>
      </c>
      <c r="H13" s="3">
        <v>564</v>
      </c>
      <c r="I13" s="3">
        <v>54</v>
      </c>
      <c r="J13" s="3">
        <v>223</v>
      </c>
      <c r="K13" s="3">
        <v>185</v>
      </c>
      <c r="L13" s="3">
        <f t="shared" si="2"/>
        <v>1026</v>
      </c>
      <c r="M13" s="4">
        <f t="shared" si="3"/>
        <v>6.1559999999999997</v>
      </c>
      <c r="N13" s="2">
        <v>104</v>
      </c>
      <c r="O13" s="2">
        <v>107</v>
      </c>
      <c r="P13" s="2">
        <v>70</v>
      </c>
      <c r="Q13" s="5" t="s">
        <v>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Bagnara</dc:creator>
  <cp:lastModifiedBy>Davide Bagnara</cp:lastModifiedBy>
  <dcterms:created xsi:type="dcterms:W3CDTF">2025-11-18T17:39:38Z</dcterms:created>
  <dcterms:modified xsi:type="dcterms:W3CDTF">2025-11-18T20:31:52Z</dcterms:modified>
</cp:coreProperties>
</file>